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34985bbf5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c8046ce96c4d4c21"/>
    <x:sheet xmlns:r="http://schemas.openxmlformats.org/officeDocument/2006/relationships" name="trang-thai-tram" sheetId="2" r:id="Re252ddd262c7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dd/mm/yyyy"/>
  </x:numFmts>
  <x:fonts count="3">
    <x:font>
      <x:sz val="11"/>
      <x:color theme="1"/>
      <x:name val="Calibri"/>
      <x:family val="2"/>
      <x:scheme val="minor"/>
    </x:font>
    <x:font>
      <x:b/>
    </x:font>
    <x:font>
      <x:b/>
      <x:sz val="11"/>
      <x:color rgb="FFFFFFFF"/>
      <x:name val="Arial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3" fontId="0" fillId="0" borderId="0" xfId="0"/>
    <x:xf numFmtId="165" fontId="0" fillId="0" borderId="0" xfId="0"/>
    <x:xf numFmtId="0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d659118f41b6" /><Relationship Type="http://schemas.openxmlformats.org/officeDocument/2006/relationships/theme" Target="/xl/theme/theme1.xml" Id="R55726c33fd2a4133" /><Relationship Type="http://schemas.openxmlformats.org/officeDocument/2006/relationships/sharedStrings" Target="/xl/sharedStrings.xml" Id="R8cdec4a4421d41a9" /><Relationship Type="http://schemas.openxmlformats.org/officeDocument/2006/relationships/worksheet" Target="/xl/worksheets/sheet1.xml" Id="Rc8046ce96c4d4c21" /><Relationship Type="http://schemas.openxmlformats.org/officeDocument/2006/relationships/worksheet" Target="/xl/worksheets/sheet2.xml" Id="Re252ddd262c74eba" /></Relationships>
</file>

<file path=xl/tables/table1.xml><?xml version="1.0" encoding="utf-8"?>
<x:table xmlns:x="http://schemas.openxmlformats.org/spreadsheetml/2006/main" id="1" name="TrangThaiTram" displayName="TrangThaiTram" ref="A1:F11" headerRowCount="1" totalsRowCount="0" totalsRowShown="0">
  <x:autoFilter ref="A1:F11"/>
  <x:tableColumns count="6">
    <x:tableColumn id="1" name="ma_tram"/>
    <x:tableColumn id="2" name="ma_linh_kien"/>
    <x:tableColumn id="3" name="dung_luong_ram"/>
    <x:tableColumn id="4" name="ngay_lap_dat"/>
    <x:tableColumn id="5" name="ma_linh_kien_sach"/>
    <x:tableColumn id="6" name="ten_thiet_b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7f29cb5362498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</x:cols>
  <x:sheetData>
    <x:row r="1">
      <x:c r="A1" s="1" t="inlineStr">
        <x:is>
          <x:t xml:space="preserve">ma_linh_kien</x:t>
        </x:is>
      </x:c>
      <x:c r="B1" s="1" t="inlineStr">
        <x:is>
          <x:t xml:space="preserve">ten_thiet_bi</x:t>
        </x:is>
      </x:c>
      <x:c r="C1" s="1" t="inlineStr">
        <x:is>
          <x:t xml:space="preserve">don_gia</x:t>
        </x:is>
      </x:c>
      <x:c r="D1" s="1" t="inlineStr">
        <x:is>
          <x:t xml:space="preserve">loai_storage</x:t>
        </x:is>
      </x:c>
    </x:row>
    <x:row r="2">
      <x:c r="A2" t="inlineStr">
        <x:is>
          <x:t xml:space="preserve">LK01</x:t>
        </x:is>
      </x:c>
      <x:c r="B2" t="inlineStr">
        <x:is>
          <x:t xml:space="preserve">Raspberry Pi 4 Model B</x:t>
        </x:is>
      </x:c>
      <x:c r="C2" s="2" t="n">
        <x:v>1450000</x:v>
      </x:c>
      <x:c r="D2" t="inlineStr">
        <x:is>
          <x:t xml:space="preserve">SSD</x:t>
        </x:is>
      </x:c>
    </x:row>
    <x:row r="3">
      <x:c r="A3" t="inlineStr">
        <x:is>
          <x:t xml:space="preserve">LK02</x:t>
        </x:is>
      </x:c>
      <x:c r="B3" t="inlineStr">
        <x:is>
          <x:t xml:space="preserve">Intel NUC i3</x:t>
        </x:is>
      </x:c>
      <x:c r="C3" s="2" t="n">
        <x:v>6200000</x:v>
      </x:c>
      <x:c r="D3" t="inlineStr">
        <x:is>
          <x:t xml:space="preserve">SSD</x:t>
        </x:is>
      </x:c>
    </x:row>
    <x:row r="4">
      <x:c r="A4" t="inlineStr">
        <x:is>
          <x:t xml:space="preserve">LK03</x:t>
        </x:is>
      </x:c>
      <x:c r="B4" t="inlineStr">
        <x:is>
          <x:t xml:space="preserve">Orange Pi 5</x:t>
        </x:is>
      </x:c>
      <x:c r="C4" s="2" t="n">
        <x:v>2300000</x:v>
      </x:c>
      <x:c r="D4" t="inlineStr">
        <x:is>
          <x:t xml:space="preserve">SSD</x:t>
        </x:is>
      </x:c>
    </x:row>
    <x:row r="5">
      <x:c r="A5" t="inlineStr">
        <x:is>
          <x:t xml:space="preserve">LK04</x:t>
        </x:is>
      </x:c>
      <x:c r="B5" t="inlineStr">
        <x:is>
          <x:t xml:space="preserve">Dell Optiplex Micro</x:t>
        </x:is>
      </x:c>
      <x:c r="C5" s="2" t="n">
        <x:v>5400000</x:v>
      </x:c>
      <x:c r="D5" t="inlineStr">
        <x:is>
          <x:t xml:space="preserve">HDD</x:t>
        </x:is>
      </x:c>
    </x:row>
    <x:row r="6">
      <x:c r="A6" t="inlineStr">
        <x:is>
          <x:t xml:space="preserve">LK05</x:t>
        </x:is>
      </x:c>
      <x:c r="B6" t="inlineStr">
        <x:is>
          <x:t xml:space="preserve">Mini PC Fanless N100</x:t>
        </x:is>
      </x:c>
      <x:c r="C6" s="2" t="n">
        <x:v>4200000</x:v>
      </x:c>
      <x:c r="D6" t="inlineStr">
        <x:is>
          <x:t xml:space="preserve">SSD</x:t>
        </x:is>
      </x:c>
    </x:row>
    <x:row r="7">
      <x:c r="A7" t="inlineStr">
        <x:is>
          <x:t xml:space="preserve">LK06</x:t>
        </x:is>
      </x:c>
      <x:c r="B7" t="inlineStr">
        <x:is>
          <x:t xml:space="preserve">Synology DS220j NAS</x:t>
        </x:is>
      </x:c>
      <x:c r="C7" s="2" t="n">
        <x:v>3900000</x:v>
      </x:c>
      <x:c r="D7" t="inlineStr">
        <x:is>
          <x:t xml:space="preserve">HDD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17" hidden="0" customWidth="1"/>
    <x:col min="5" max="5" width="23" hidden="0" customWidth="1"/>
    <x:col min="6" max="6" width="27" hidden="0" customWidth="1"/>
  </x:cols>
  <x:sheetData>
    <x:row r="1">
      <x:c r="A1" s="1" t="inlineStr">
        <x:is>
          <x:t xml:space="preserve">ma_tram</x:t>
        </x:is>
      </x:c>
      <x:c r="B1" s="1" t="inlineStr">
        <x:is>
          <x:t xml:space="preserve">ma_linh_kien</x:t>
        </x:is>
      </x:c>
      <x:c r="C1" s="1" t="inlineStr">
        <x:is>
          <x:t xml:space="preserve">dung_luong_ram</x:t>
        </x:is>
      </x:c>
      <x:c r="D1" s="1" t="inlineStr">
        <x:is>
          <x:t xml:space="preserve">ngay_lap_dat</x:t>
        </x:is>
      </x:c>
      <x:c r="E1" s="4" t="str">
        <x:v>ma_linh_kien_sach</x:v>
      </x:c>
      <x:c r="F1" s="4" t="str">
        <x:v>ten_thiet_bi</x:v>
      </x:c>
    </x:row>
    <x:row r="2">
      <x:c r="A2" t="inlineStr">
        <x:is>
          <x:t xml:space="preserve">ST01</x:t>
        </x:is>
      </x:c>
      <x:c r="B2" t="inlineStr">
        <x:is>
          <x:t xml:space="preserve">LK02</x:t>
        </x:is>
      </x:c>
      <x:c r="C2" t="n">
        <x:v>16</x:v>
      </x:c>
      <x:c r="D2" s="3" t="n">
        <x:v>46093</x:v>
      </x:c>
      <x:c r="E2" t="str">
        <x:f>TRIM(B2)</x:f>
        <x:v>LK02</x:v>
      </x:c>
      <x:c r="F2" t="str">
        <x:f>VLOOKUP(E2,'danh-muc-linh-kien'!$A$2:$D$7,2,FALSE)</x:f>
        <x:v>Intel NUC i3</x:v>
      </x:c>
    </x:row>
    <x:row r="3">
      <x:c r="A3" t="inlineStr">
        <x:is>
          <x:t xml:space="preserve">ST02</x:t>
        </x:is>
      </x:c>
      <x:c r="B3" t="inlineStr">
        <x:is>
          <x:t xml:space="preserve"> LK01</x:t>
        </x:is>
      </x:c>
      <x:c r="C3" t="n">
        <x:v>4</x:v>
      </x:c>
      <x:c r="D3" s="3" t="n">
        <x:v>46096</x:v>
      </x:c>
      <x:c r="E3" t="str">
        <x:f>TRIM(B3)</x:f>
        <x:v>LK01</x:v>
      </x:c>
      <x:c r="F3" t="str">
        <x:f>VLOOKUP(E3,'danh-muc-linh-kien'!$A$2:$D$7,2,FALSE)</x:f>
        <x:v>Raspberry Pi 4 Model B</x:v>
      </x:c>
    </x:row>
    <x:row r="4">
      <x:c r="A4" t="inlineStr">
        <x:is>
          <x:t xml:space="preserve">ST03</x:t>
        </x:is>
      </x:c>
      <x:c r="B4" t="inlineStr">
        <x:is>
          <x:t xml:space="preserve">LK05 </x:t>
        </x:is>
      </x:c>
      <x:c r="C4" t="n">
        <x:v>8</x:v>
      </x:c>
      <x:c r="D4" s="3" t="n">
        <x:v>46114</x:v>
      </x:c>
      <x:c r="E4" t="str">
        <x:f>TRIM(B4)</x:f>
        <x:v>LK05</x:v>
      </x:c>
      <x:c r="F4" t="str">
        <x:f>VLOOKUP(E4,'danh-muc-linh-kien'!$A$2:$D$7,2,FALSE)</x:f>
        <x:v>Mini PC Fanless N100</x:v>
      </x:c>
    </x:row>
    <x:row r="5">
      <x:c r="A5" t="inlineStr">
        <x:is>
          <x:t xml:space="preserve">ST04</x:t>
        </x:is>
      </x:c>
      <x:c r="B5" t="inlineStr">
        <x:is>
          <x:t xml:space="preserve">LK03</x:t>
        </x:is>
      </x:c>
      <x:c r="C5" t="n">
        <x:v>8</x:v>
      </x:c>
      <x:c r="D5" s="3" t="n">
        <x:v>46121</x:v>
      </x:c>
      <x:c r="E5" t="str">
        <x:f>TRIM(B5)</x:f>
        <x:v>LK03</x:v>
      </x:c>
      <x:c r="F5" t="str">
        <x:f>VLOOKUP(E5,'danh-muc-linh-kien'!$A$2:$D$7,2,FALSE)</x:f>
        <x:v>Orange Pi 5</x:v>
      </x:c>
    </x:row>
    <x:row r="6">
      <x:c r="A6" t="inlineStr">
        <x:is>
          <x:t xml:space="preserve">ST05</x:t>
        </x:is>
      </x:c>
      <x:c r="B6" t="inlineStr">
        <x:is>
          <x:t xml:space="preserve">LK02 </x:t>
        </x:is>
      </x:c>
      <x:c r="C6" t="n">
        <x:v>16</x:v>
      </x:c>
      <x:c r="D6" s="3" t="n">
        <x:v>46133</x:v>
      </x:c>
      <x:c r="E6" t="str">
        <x:f>TRIM(B6)</x:f>
        <x:v>LK02</x:v>
      </x:c>
      <x:c r="F6" t="str">
        <x:f>VLOOKUP(E6,'danh-muc-linh-kien'!$A$2:$D$7,2,FALSE)</x:f>
        <x:v>Intel NUC i3</x:v>
      </x:c>
    </x:row>
    <x:row r="7">
      <x:c r="A7" t="inlineStr">
        <x:is>
          <x:t xml:space="preserve">ST06</x:t>
        </x:is>
      </x:c>
      <x:c r="B7" t="inlineStr">
        <x:is>
          <x:t xml:space="preserve">LK06</x:t>
        </x:is>
      </x:c>
      <x:c r="C7" t="n">
        <x:v>4</x:v>
      </x:c>
      <x:c r="D7" s="3" t="n">
        <x:v>46147</x:v>
      </x:c>
      <x:c r="E7" t="str">
        <x:f>TRIM(B7)</x:f>
        <x:v>LK06</x:v>
      </x:c>
      <x:c r="F7" t="str">
        <x:f>VLOOKUP(E7,'danh-muc-linh-kien'!$A$2:$D$7,2,FALSE)</x:f>
        <x:v>Synology DS220j NAS</x:v>
      </x:c>
    </x:row>
    <x:row r="8">
      <x:c r="A8" t="inlineStr">
        <x:is>
          <x:t xml:space="preserve">ST07</x:t>
        </x:is>
      </x:c>
      <x:c r="B8" t="inlineStr">
        <x:is>
          <x:t xml:space="preserve">LK01</x:t>
        </x:is>
      </x:c>
      <x:c r="C8" t="n">
        <x:v>4</x:v>
      </x:c>
      <x:c r="D8" s="3" t="n">
        <x:v>46160</x:v>
      </x:c>
      <x:c r="E8" t="str">
        <x:f>TRIM(B8)</x:f>
        <x:v>LK01</x:v>
      </x:c>
      <x:c r="F8" t="str">
        <x:f>VLOOKUP(E8,'danh-muc-linh-kien'!$A$2:$D$7,2,FALSE)</x:f>
        <x:v>Raspberry Pi 4 Model B</x:v>
      </x:c>
    </x:row>
    <x:row r="9">
      <x:c r="A9" t="inlineStr">
        <x:is>
          <x:t xml:space="preserve">ST08</x:t>
        </x:is>
      </x:c>
      <x:c r="B9" t="inlineStr">
        <x:is>
          <x:t xml:space="preserve"> LK04</x:t>
        </x:is>
      </x:c>
      <x:c r="C9" t="n">
        <x:v>8</x:v>
      </x:c>
      <x:c r="D9" s="3" t="n">
        <x:v>46174</x:v>
      </x:c>
      <x:c r="E9" t="str">
        <x:f>TRIM(B9)</x:f>
        <x:v>LK04</x:v>
      </x:c>
      <x:c r="F9" t="str">
        <x:f>VLOOKUP(E9,'danh-muc-linh-kien'!$A$2:$D$7,2,FALSE)</x:f>
        <x:v>Dell Optiplex Micro</x:v>
      </x:c>
    </x:row>
    <x:row r="10">
      <x:c r="A10" t="inlineStr">
        <x:is>
          <x:t xml:space="preserve">ST09</x:t>
        </x:is>
      </x:c>
      <x:c r="B10" t="inlineStr">
        <x:is>
          <x:t xml:space="preserve">LK03</x:t>
        </x:is>
      </x:c>
      <x:c r="C10" t="n">
        <x:v>8</x:v>
      </x:c>
      <x:c r="D10" s="3" t="n">
        <x:v>46187</x:v>
      </x:c>
      <x:c r="E10" t="str">
        <x:f>TRIM(B10)</x:f>
        <x:v>LK03</x:v>
      </x:c>
      <x:c r="F10" t="str">
        <x:f>VLOOKUP(E10,'danh-muc-linh-kien'!$A$2:$D$7,2,FALSE)</x:f>
        <x:v>Orange Pi 5</x:v>
      </x:c>
    </x:row>
    <x:row r="11">
      <x:c r="A11" t="inlineStr">
        <x:is>
          <x:t xml:space="preserve">ST10</x:t>
        </x:is>
      </x:c>
      <x:c r="B11" t="inlineStr">
        <x:is>
          <x:t xml:space="preserve">LK05</x:t>
        </x:is>
      </x:c>
      <x:c r="C11" t="n">
        <x:v>8</x:v>
      </x:c>
      <x:c r="D11" s="3" t="n">
        <x:v>46206</x:v>
      </x:c>
      <x:c r="E11" t="str">
        <x:f>TRIM(B11)</x:f>
        <x:v>LK05</x:v>
      </x:c>
      <x:c r="F11" t="str">
        <x:f>VLOOKUP(E11,'danh-muc-linh-kien'!$A$2:$D$7,2,FALSE)</x:f>
        <x:v>Mini PC Fanless N100</x:v>
      </x:c>
    </x:row>
  </x:sheetData>
  <x:pageMargins left="0.7" right="0.7" top="0.75" bottom="0.75" header="0.3" footer="0.3"/>
  <x:tableParts count="1">
    <x:tablePart xmlns:r="http://schemas.openxmlformats.org/officeDocument/2006/relationships" r:id="R037f29cb5362498a"/>
  </x:tableParts>
</x:worksheet>
</file>